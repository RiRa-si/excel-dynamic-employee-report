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8_{01D0CB5E-31C7-4526-8AA2-146EA239D0A7}" xr6:coauthVersionLast="47" xr6:coauthVersionMax="47" xr10:uidLastSave="{00000000-0000-0000-0000-000000000000}"/>
  <bookViews>
    <workbookView xWindow="-120" yWindow="-120" windowWidth="29040" windowHeight="15720" xr2:uid="{DCB4BD6B-A7BC-4B1D-9B54-99DAADC00A5F}"/>
  </bookViews>
  <sheets>
    <sheet name="dynamic repo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H13" i="1"/>
  <c r="F13" i="1"/>
  <c r="F8" i="1" a="1"/>
  <c r="F8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<sst xmlns="http://schemas.openxmlformats.org/spreadsheetml/2006/main" count="28" uniqueCount="22">
  <si>
    <t>Employee</t>
  </si>
  <si>
    <t>Department</t>
  </si>
  <si>
    <t>Salary</t>
  </si>
  <si>
    <t>Sales</t>
  </si>
  <si>
    <t>department</t>
  </si>
  <si>
    <t xml:space="preserve">options </t>
  </si>
  <si>
    <t>Rahul</t>
  </si>
  <si>
    <t>IT</t>
  </si>
  <si>
    <t>Priya</t>
  </si>
  <si>
    <t>HR</t>
  </si>
  <si>
    <t>Amit</t>
  </si>
  <si>
    <t>Riya</t>
  </si>
  <si>
    <t>Finance</t>
  </si>
  <si>
    <t>Karan</t>
  </si>
  <si>
    <t>Neha</t>
  </si>
  <si>
    <t>employee</t>
  </si>
  <si>
    <t>salary</t>
  </si>
  <si>
    <t>sales</t>
  </si>
  <si>
    <t>Arjun</t>
  </si>
  <si>
    <t>emp count</t>
  </si>
  <si>
    <t>average sal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</si>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</sst>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5" xfId="0" applyBorder="1"/>
    <xf numFmtId="0" fontId="1" fillId="0" borderId="6" xfId="0" applyFont="1" applyBorder="1"/>
    <xf numFmtId="0" fontId="1" fillId="0" borderId="0" xfId="0" applyFont="1"/>
    <xf numFmtId="0" fontId="0" fillId="0" borderId="7" xfId="0" applyBorder="1"/>
    <xf numFmtId="0" fontId="1" fillId="2" borderId="6" xfId="0" applyFont="1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'dynamic report'!$I$7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'dynamic report'!$F$8:$G$10</c15:sqref>
                  </c15:fullRef>
                  <c15:levelRef>
                    <c15:sqref>'dynamic report'!$F$8:$F$10</c15:sqref>
                  </c15:levelRef>
                </c:ext>
              </c:extLst>
              <c:f>'dynamic report'!$F$8:$F$10</c:f>
              <c:strCache>
                <c:ptCount val="3"/>
                <c:pt idx="0">
                  <c:v>Amit</c:v>
                </c:pt>
                <c:pt idx="1">
                  <c:v>Karan</c:v>
                </c:pt>
                <c:pt idx="2">
                  <c:v>Rahul</c:v>
                </c:pt>
              </c:strCache>
            </c:strRef>
          </c:cat>
          <c:val>
            <c:numRef>
              <c:f>'dynamic report'!$I$8:$I$10</c:f>
              <c:numCache>
                <c:formatCode>General</c:formatCode>
                <c:ptCount val="3"/>
                <c:pt idx="0">
                  <c:v>95000</c:v>
                </c:pt>
                <c:pt idx="1">
                  <c:v>88000</c:v>
                </c:pt>
                <c:pt idx="2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E-4585-A97C-7B7B41367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462799"/>
        <c:axId val="19524661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'dynamic report'!$H$7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'dynamic report'!$F$8:$G$10</c15:sqref>
                        </c15:fullRef>
                        <c15:levelRef>
                          <c15:sqref>'dynamic report'!$F$8:$F$10</c15:sqref>
                        </c15:levelRef>
                        <c15:formulaRef>
                          <c15:sqref>'dynamic report'!$F$8:$F$10</c15:sqref>
                        </c15:formulaRef>
                      </c:ext>
                    </c:extLst>
                    <c:strCache>
                      <c:ptCount val="3"/>
                      <c:pt idx="0">
                        <c:v>Amit</c:v>
                      </c:pt>
                      <c:pt idx="1">
                        <c:v>Karan</c:v>
                      </c:pt>
                      <c:pt idx="2">
                        <c:v>Rahul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'dynamic report'!$H$8:$H$10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60000</c:v>
                      </c:pt>
                      <c:pt idx="1">
                        <c:v>48000</c:v>
                      </c:pt>
                      <c:pt idx="2">
                        <c:v>50000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5E-4585-A97C-7B7B4136706E}"/>
                  </c:ext>
                </c:extLst>
              </c15:ser>
            </c15:filteredBarSeries>
          </c:ext>
        </c:extLst>
      </c:barChart>
      <c:catAx>
        <c:axId val="195246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6159"/>
        <c:crosses val="autoZero"/>
        <c:auto val="1"/>
        <c:lblAlgn val="ctr"/>
        <c:lblOffset val="100"/>
        <c:noMultiLvlLbl val="0"/>
      </c:catAx>
      <c:valAx>
        <c:axId val="19524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252779</xdr:colOff>
      <xdr:row>16</xdr:row>
      <xdr:rowOff>123093</xdr:rowOff>
    </xdr:from>
    <xdr:to>
      <xdr:col>10</xdr:col>
      <xdr:colOff>395654</xdr:colOff>
      <xdr:row>28</xdr:row>
      <xdr:rowOff>153866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952D3-5661-4CC2-B1AE-DCC234464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tes\Downloads\advanced%20excel%20practice%20and%20notebook.xlsx" TargetMode="External"/><Relationship Id="rId1" Type="http://schemas.openxmlformats.org/officeDocument/2006/relationships/externalLinkPath" Target="advanced%20excel%20practice%20and%20note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er()"/>
      <sheetName val="sort()"/>
      <sheetName val="unique + sort"/>
      <sheetName val="sequence"/>
      <sheetName val="sumifs()"/>
      <sheetName val="sumifs"/>
      <sheetName val="countifs"/>
      <sheetName val="countifs 2"/>
      <sheetName val="index+match"/>
      <sheetName val="xmatch"/>
      <sheetName val="Sheet5"/>
      <sheetName val="dynamic report"/>
      <sheetName val=" xmatch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H7" t="str">
            <v>salary</v>
          </cell>
          <cell r="I7" t="str">
            <v>sales</v>
          </cell>
        </row>
        <row r="8">
          <cell r="F8" t="str">
            <v>Amit</v>
          </cell>
          <cell r="G8" t="str">
            <v>IT</v>
          </cell>
          <cell r="H8">
            <v>60000</v>
          </cell>
          <cell r="I8">
            <v>95000</v>
          </cell>
        </row>
        <row r="9">
          <cell r="F9" t="str">
            <v>Karan</v>
          </cell>
          <cell r="G9" t="str">
            <v>IT</v>
          </cell>
          <cell r="H9">
            <v>48000</v>
          </cell>
          <cell r="I9">
            <v>88000</v>
          </cell>
        </row>
        <row r="10">
          <cell r="F10" t="str">
            <v>Rahul</v>
          </cell>
          <cell r="G10" t="str">
            <v>IT</v>
          </cell>
          <cell r="H10">
            <v>50000</v>
          </cell>
          <cell r="I10">
            <v>80000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B5FB-C088-4C2B-B8FD-B55C1A95791C}">
  <dimension ref="A1:K29"/>
  <sheetViews>
    <sheetView tabSelected="1" zoomScale="115" zoomScaleNormal="115" workbookViewId="0">
      <selection activeCell="N9" sqref="N9"/>
    </sheetView>
  </sheetViews>
  <sheetFormatPr defaultRowHeight="15" x14ac:dyDescent="0.25"/>
  <cols>
    <col min="6" max="6" width="11.85546875" customWidth="1"/>
    <col min="8" max="8" width="10.42578125" customWidth="1"/>
  </cols>
  <sheetData>
    <row r="1" spans="1:1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3"/>
      <c r="F1" s="4" t="s">
        <v>4</v>
      </c>
      <c r="G1" s="5"/>
      <c r="H1" s="6" t="s">
        <v>5</v>
      </c>
      <c r="I1" s="5"/>
      <c r="J1" s="5"/>
      <c r="K1" s="7"/>
    </row>
    <row r="2" spans="1:11" x14ac:dyDescent="0.25">
      <c r="A2" s="8" t="s">
        <v>6</v>
      </c>
      <c r="B2" s="8" t="s">
        <v>7</v>
      </c>
      <c r="C2" s="9">
        <v>50000</v>
      </c>
      <c r="D2" s="9">
        <v>80000</v>
      </c>
      <c r="E2" s="10"/>
      <c r="F2" s="11" t="s">
        <v>7</v>
      </c>
      <c r="H2" s="12" t="str" cm="1">
        <f t="array" ref="H2:H4">_xlfn._xlws.SORT(_xlfn.UNIQUE(B2:B8))</f>
        <v>Finance</v>
      </c>
      <c r="K2" s="13"/>
    </row>
    <row r="3" spans="1:11" x14ac:dyDescent="0.25">
      <c r="A3" s="8" t="s">
        <v>8</v>
      </c>
      <c r="B3" s="8" t="s">
        <v>9</v>
      </c>
      <c r="C3" s="9">
        <v>45000</v>
      </c>
      <c r="D3" s="9">
        <v>65000</v>
      </c>
      <c r="E3" s="10"/>
      <c r="H3" t="str">
        <v>HR</v>
      </c>
      <c r="K3" s="13"/>
    </row>
    <row r="4" spans="1:11" x14ac:dyDescent="0.25">
      <c r="A4" s="8" t="s">
        <v>10</v>
      </c>
      <c r="B4" s="8" t="s">
        <v>7</v>
      </c>
      <c r="C4" s="9">
        <v>60000</v>
      </c>
      <c r="D4" s="9">
        <v>95000</v>
      </c>
      <c r="E4" s="10"/>
      <c r="H4" t="str">
        <v>IT</v>
      </c>
      <c r="K4" s="13"/>
    </row>
    <row r="5" spans="1:11" x14ac:dyDescent="0.25">
      <c r="A5" s="8" t="s">
        <v>11</v>
      </c>
      <c r="B5" s="8" t="s">
        <v>12</v>
      </c>
      <c r="C5" s="9">
        <v>55000</v>
      </c>
      <c r="D5" s="9">
        <v>72000</v>
      </c>
      <c r="E5" s="10"/>
      <c r="K5" s="13"/>
    </row>
    <row r="6" spans="1:11" x14ac:dyDescent="0.25">
      <c r="A6" s="8" t="s">
        <v>13</v>
      </c>
      <c r="B6" s="8" t="s">
        <v>7</v>
      </c>
      <c r="C6" s="9">
        <v>48000</v>
      </c>
      <c r="D6" s="9">
        <v>88000</v>
      </c>
      <c r="E6" s="10"/>
      <c r="K6" s="13"/>
    </row>
    <row r="7" spans="1:11" x14ac:dyDescent="0.25">
      <c r="A7" s="8" t="s">
        <v>14</v>
      </c>
      <c r="B7" s="8" t="s">
        <v>9</v>
      </c>
      <c r="C7" s="9">
        <v>52000</v>
      </c>
      <c r="D7" s="9">
        <v>70000</v>
      </c>
      <c r="E7" s="10"/>
      <c r="F7" s="14" t="s">
        <v>15</v>
      </c>
      <c r="G7" s="14" t="s">
        <v>4</v>
      </c>
      <c r="H7" s="14" t="s">
        <v>16</v>
      </c>
      <c r="I7" s="14" t="s">
        <v>17</v>
      </c>
      <c r="K7" s="13"/>
    </row>
    <row r="8" spans="1:11" x14ac:dyDescent="0.25">
      <c r="A8" s="8" t="s">
        <v>18</v>
      </c>
      <c r="B8" s="8" t="s">
        <v>12</v>
      </c>
      <c r="C8" s="9">
        <v>58000</v>
      </c>
      <c r="D8" s="9">
        <v>90000</v>
      </c>
      <c r="E8" s="10"/>
      <c r="F8" s="15" t="str" cm="1">
        <f t="array" ref="F8:I10">_xlfn._xlws.SORT(_xlfn._xlws.FILTER(A2:D8,B2:B8=F2),4,-1)</f>
        <v>Amit</v>
      </c>
      <c r="G8" s="15" t="str">
        <v>IT</v>
      </c>
      <c r="H8" s="15">
        <v>60000</v>
      </c>
      <c r="I8" s="15">
        <v>95000</v>
      </c>
      <c r="K8" s="13"/>
    </row>
    <row r="9" spans="1:11" x14ac:dyDescent="0.25">
      <c r="E9" s="10"/>
      <c r="F9" s="15" t="str">
        <v>Karan</v>
      </c>
      <c r="G9" s="15" t="str">
        <v>IT</v>
      </c>
      <c r="H9" s="15">
        <v>48000</v>
      </c>
      <c r="I9" s="15">
        <v>88000</v>
      </c>
      <c r="K9" s="13"/>
    </row>
    <row r="10" spans="1:11" x14ac:dyDescent="0.25">
      <c r="E10" s="10"/>
      <c r="F10" s="15" t="str">
        <v>Rahul</v>
      </c>
      <c r="G10" s="15" t="str">
        <v>IT</v>
      </c>
      <c r="H10" s="15">
        <v>50000</v>
      </c>
      <c r="I10" s="15">
        <v>80000</v>
      </c>
      <c r="K10" s="13"/>
    </row>
    <row r="11" spans="1:11" x14ac:dyDescent="0.25">
      <c r="E11" s="10"/>
      <c r="K11" s="13"/>
    </row>
    <row r="12" spans="1:11" x14ac:dyDescent="0.25">
      <c r="E12" s="10"/>
      <c r="F12" s="11" t="s">
        <v>19</v>
      </c>
      <c r="H12" s="11" t="s">
        <v>20</v>
      </c>
      <c r="K12" s="13"/>
    </row>
    <row r="13" spans="1:11" x14ac:dyDescent="0.25">
      <c r="E13" s="10"/>
      <c r="F13" s="15">
        <f>COUNTIFS(B2:B8,F2)</f>
        <v>3</v>
      </c>
      <c r="H13" s="15">
        <f>AVERAGEIFS(C2:C8,B2:B8,F2)</f>
        <v>52666.666666666664</v>
      </c>
      <c r="K13" s="13"/>
    </row>
    <row r="14" spans="1:11" x14ac:dyDescent="0.25">
      <c r="E14" s="10"/>
      <c r="K14" s="13"/>
    </row>
    <row r="15" spans="1:11" x14ac:dyDescent="0.25">
      <c r="E15" s="10"/>
      <c r="F15" s="11" t="s">
        <v>21</v>
      </c>
      <c r="K15" s="13"/>
    </row>
    <row r="16" spans="1:11" x14ac:dyDescent="0.25">
      <c r="E16" s="10"/>
      <c r="F16" s="15">
        <f>SUMIFS(D2:D8,B2:B8,F2)</f>
        <v>263000</v>
      </c>
      <c r="K16" s="13"/>
    </row>
    <row r="17" spans="5:11" x14ac:dyDescent="0.25">
      <c r="E17" s="10"/>
      <c r="K17" s="13"/>
    </row>
    <row r="18" spans="5:11" x14ac:dyDescent="0.25">
      <c r="E18" s="10"/>
      <c r="K18" s="13"/>
    </row>
    <row r="19" spans="5:11" x14ac:dyDescent="0.25">
      <c r="E19" s="10"/>
      <c r="K19" s="13"/>
    </row>
    <row r="20" spans="5:11" x14ac:dyDescent="0.25">
      <c r="E20" s="10"/>
      <c r="K20" s="13"/>
    </row>
    <row r="21" spans="5:11" x14ac:dyDescent="0.25">
      <c r="E21" s="10"/>
      <c r="K21" s="13"/>
    </row>
    <row r="22" spans="5:11" x14ac:dyDescent="0.25">
      <c r="E22" s="10"/>
      <c r="K22" s="13"/>
    </row>
    <row r="23" spans="5:11" x14ac:dyDescent="0.25">
      <c r="E23" s="10"/>
      <c r="K23" s="13"/>
    </row>
    <row r="24" spans="5:11" x14ac:dyDescent="0.25">
      <c r="E24" s="10"/>
      <c r="K24" s="13"/>
    </row>
    <row r="25" spans="5:11" x14ac:dyDescent="0.25">
      <c r="E25" s="10"/>
      <c r="K25" s="13"/>
    </row>
    <row r="26" spans="5:11" x14ac:dyDescent="0.25">
      <c r="E26" s="10"/>
      <c r="K26" s="13"/>
    </row>
    <row r="27" spans="5:11" x14ac:dyDescent="0.25">
      <c r="E27" s="10"/>
      <c r="K27" s="13"/>
    </row>
    <row r="28" spans="5:11" x14ac:dyDescent="0.25">
      <c r="E28" s="10"/>
      <c r="K28" s="13"/>
    </row>
    <row r="29" spans="5:11" ht="15.75" thickBot="1" x14ac:dyDescent="0.3">
      <c r="E29" s="16"/>
      <c r="F29" s="17"/>
      <c r="G29" s="17"/>
      <c r="H29" s="17"/>
      <c r="I29" s="17"/>
      <c r="J29" s="17"/>
      <c r="K29" s="18"/>
    </row>
  </sheetData>
  <dataValidations count="1">
    <dataValidation type="list" allowBlank="1" showInputMessage="1" showErrorMessage="1" sqref="F2" xr:uid="{4F32D689-DE17-4F72-98E0-7727CE6F479F}">
      <formula1>_xlfn.ANCHORARRAY(H2)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Raj Singh</dc:creator>
  <cp:lastModifiedBy>Ritesh Raj Singh</cp:lastModifiedBy>
  <dcterms:created xsi:type="dcterms:W3CDTF">2026-10-03T07:33:09Z</dcterms:created>
  <dcterms:modified xsi:type="dcterms:W3CDTF">2026-10-03T07:34:39Z</dcterms:modified>
</cp:coreProperties>
</file>